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bservaciones" sheetId="2" state="visible" r:id="rId2"/>
    <sheet xmlns:r="http://schemas.openxmlformats.org/officeDocument/2006/relationships" name="Reporte Correcciones" sheetId="3" state="visible" r:id="rId3"/>
  </sheets>
  <definedNames>
    <definedName name="_xlnm._FilterDatabase" localSheetId="1" hidden="1">'Observaciones'!$A$4:$O$29</definedName>
    <definedName name="_xlnm._FilterDatabase" localSheetId="2" hidden="1">'Reporte Correcciones'!$A$4:$E$29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000000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FF1F3864"/>
      <sz val="11"/>
    </font>
    <font>
      <name val="Arial"/>
      <b val="1"/>
      <color rgb="FF1F3864"/>
      <sz val="12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3" fillId="4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6" fillId="0" borderId="1" pivotButton="0" quotePrefix="0" xfId="0"/>
    <xf numFmtId="9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5" fillId="7" borderId="0" applyAlignment="1" pivotButton="0" quotePrefix="0" xfId="0">
      <alignment vertical="top"/>
    </xf>
    <xf numFmtId="0" fontId="2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9DC3E6"/>
        </patternFill>
      </fill>
    </dxf>
    <dxf>
      <fill>
        <patternFill patternType="solid">
          <fgColor rgb="FFA9D08E"/>
        </patternFill>
      </fill>
    </dxf>
    <dxf>
      <font>
        <name val="Arial"/>
        <b val="1"/>
        <color rgb="FF000000"/>
      </font>
      <fill>
        <patternFill patternType="solid">
          <fgColor rgb="FFC6E0B4"/>
        </patternFill>
      </fill>
    </dxf>
    <dxf>
      <font>
        <name val="Arial"/>
        <b val="1"/>
        <color rgb="FF000000"/>
      </font>
      <fill>
        <patternFill patternType="solid">
          <fgColor rgb="FFFFE699"/>
        </patternFill>
      </fill>
    </dxf>
    <dxf>
      <font>
        <name val="Arial"/>
        <b val="1"/>
        <color rgb="FF000000"/>
      </font>
      <fill>
        <patternFill patternType="solid">
          <fgColor rgb="FFF4B183"/>
        </patternFill>
      </fill>
    </dxf>
    <dxf>
      <font>
        <name val="Arial"/>
        <b val="1"/>
        <color rgb="FFFFFFFF"/>
      </font>
      <fill>
        <patternFill patternType="solid">
          <f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1" sqref="A1"/>
    </sheetView>
  </sheetViews>
  <sheetFormatPr baseColWidth="10" defaultColWidth="9.140625" defaultRowHeight="15"/>
  <cols>
    <col width="26" customWidth="1" style="24" min="1" max="1"/>
    <col width="14" customWidth="1" style="24" min="2" max="6"/>
    <col width="30" customWidth="1" style="24" min="7" max="7"/>
  </cols>
  <sheetData>
    <row r="1" ht="18" customHeight="1" s="24">
      <c r="A1" s="26" t="inlineStr">
        <is>
          <t>Resumen de observaciones</t>
        </is>
      </c>
    </row>
    <row r="3">
      <c r="A3" s="2" t="inlineStr">
        <is>
          <t>Prioridad</t>
        </is>
      </c>
      <c r="B3" s="2" t="inlineStr">
        <is>
          <t>Total</t>
        </is>
      </c>
      <c r="C3" s="2" t="inlineStr">
        <is>
          <t>Pendiente</t>
        </is>
      </c>
      <c r="D3" s="2" t="inlineStr">
        <is>
          <t>En progreso</t>
        </is>
      </c>
      <c r="E3" s="2" t="inlineStr">
        <is>
          <t>Realizada</t>
        </is>
      </c>
      <c r="F3" s="2" t="inlineStr">
        <is>
          <t>% avance</t>
        </is>
      </c>
    </row>
    <row r="4">
      <c r="A4" s="3" t="inlineStr">
        <is>
          <t>Crítica</t>
        </is>
      </c>
      <c r="B4" s="4">
        <f>COUNTIF(Observaciones!$K$5:$K$29,A4)</f>
        <v/>
      </c>
      <c r="C4" s="4">
        <f>COUNTIFS(Observaciones!$K$5:$K$29,$A4,Observaciones!$N$5:$N$29,"Pendiente")</f>
        <v/>
      </c>
      <c r="D4" s="4">
        <f>COUNTIFS(Observaciones!$K$5:$K$29,$A4,Observaciones!$N$5:$N$29,"En progreso")</f>
        <v/>
      </c>
      <c r="E4" s="4">
        <f>COUNTIFS(Observaciones!$K$5:$K$29,$A4,Observaciones!$N$5:$N$29,"Realizada")</f>
        <v/>
      </c>
      <c r="F4" s="5">
        <f>IF(B4=0,0,E4/B4)</f>
        <v/>
      </c>
    </row>
    <row r="5">
      <c r="A5" s="6" t="inlineStr">
        <is>
          <t>Alta</t>
        </is>
      </c>
      <c r="B5" s="4">
        <f>COUNTIF(Observaciones!$K$5:$K$29,A5)</f>
        <v/>
      </c>
      <c r="C5" s="4">
        <f>COUNTIFS(Observaciones!$K$5:$K$29,$A5,Observaciones!$N$5:$N$29,"Pendiente")</f>
        <v/>
      </c>
      <c r="D5" s="4">
        <f>COUNTIFS(Observaciones!$K$5:$K$29,$A5,Observaciones!$N$5:$N$29,"En progreso")</f>
        <v/>
      </c>
      <c r="E5" s="4">
        <f>COUNTIFS(Observaciones!$K$5:$K$29,$A5,Observaciones!$N$5:$N$29,"Realizada")</f>
        <v/>
      </c>
      <c r="F5" s="5">
        <f>IF(B5=0,0,E5/B5)</f>
        <v/>
      </c>
    </row>
    <row r="6">
      <c r="A6" s="7" t="inlineStr">
        <is>
          <t>Media</t>
        </is>
      </c>
      <c r="B6" s="4">
        <f>COUNTIF(Observaciones!$K$5:$K$29,A6)</f>
        <v/>
      </c>
      <c r="C6" s="4">
        <f>COUNTIFS(Observaciones!$K$5:$K$29,$A6,Observaciones!$N$5:$N$29,"Pendiente")</f>
        <v/>
      </c>
      <c r="D6" s="4">
        <f>COUNTIFS(Observaciones!$K$5:$K$29,$A6,Observaciones!$N$5:$N$29,"En progreso")</f>
        <v/>
      </c>
      <c r="E6" s="4">
        <f>COUNTIFS(Observaciones!$K$5:$K$29,$A6,Observaciones!$N$5:$N$29,"Realizada")</f>
        <v/>
      </c>
      <c r="F6" s="5">
        <f>IF(B6=0,0,E6/B6)</f>
        <v/>
      </c>
    </row>
    <row r="7">
      <c r="A7" s="8" t="inlineStr">
        <is>
          <t>Baja</t>
        </is>
      </c>
      <c r="B7" s="4">
        <f>COUNTIF(Observaciones!$K$5:$K$29,A7)</f>
        <v/>
      </c>
      <c r="C7" s="4">
        <f>COUNTIFS(Observaciones!$K$5:$K$29,$A7,Observaciones!$N$5:$N$29,"Pendiente")</f>
        <v/>
      </c>
      <c r="D7" s="4">
        <f>COUNTIFS(Observaciones!$K$5:$K$29,$A7,Observaciones!$N$5:$N$29,"En progreso")</f>
        <v/>
      </c>
      <c r="E7" s="4">
        <f>COUNTIFS(Observaciones!$K$5:$K$29,$A7,Observaciones!$N$5:$N$29,"Realizada")</f>
        <v/>
      </c>
      <c r="F7" s="5">
        <f>IF(B7=0,0,E7/B7)</f>
        <v/>
      </c>
    </row>
    <row r="8">
      <c r="A8" s="9" t="inlineStr">
        <is>
          <t>Total</t>
        </is>
      </c>
      <c r="B8" s="9">
        <f>SUM(B4:B7)</f>
        <v/>
      </c>
      <c r="C8" s="9">
        <f>SUM(C4:C7)</f>
        <v/>
      </c>
      <c r="D8" s="9">
        <f>SUM(D4:D7)</f>
        <v/>
      </c>
      <c r="E8" s="9">
        <f>SUM(E4:E7)</f>
        <v/>
      </c>
      <c r="F8" s="10">
        <f>IF(B8=0,0,E8/B8)</f>
        <v/>
      </c>
    </row>
    <row r="10">
      <c r="A10" s="2" t="inlineStr">
        <is>
          <t>Revisor</t>
        </is>
      </c>
      <c r="B10" s="2" t="inlineStr">
        <is>
          <t>Total</t>
        </is>
      </c>
      <c r="C10" s="2" t="inlineStr">
        <is>
          <t>Crítica</t>
        </is>
      </c>
      <c r="D10" s="2" t="inlineStr">
        <is>
          <t>Alta</t>
        </is>
      </c>
      <c r="E10" s="2" t="inlineStr">
        <is>
          <t>Media</t>
        </is>
      </c>
      <c r="F10" s="2" t="inlineStr">
        <is>
          <t>Baja</t>
        </is>
      </c>
    </row>
    <row r="11">
      <c r="A11" s="4" t="inlineStr">
        <is>
          <t>Pablo Román A.</t>
        </is>
      </c>
      <c r="B11" s="4">
        <f>COUNTIF(Observaciones!$C$5:$C$29,A11)</f>
        <v/>
      </c>
      <c r="C11" s="4">
        <f>COUNTIFS(Observaciones!$C$5:$C$29,$A11,Observaciones!$K$5:$K$29,"Crítica")</f>
        <v/>
      </c>
      <c r="D11" s="4">
        <f>COUNTIFS(Observaciones!$C$5:$C$29,$A11,Observaciones!$K$5:$K$29,"Alta")</f>
        <v/>
      </c>
      <c r="E11" s="4">
        <f>COUNTIFS(Observaciones!$C$5:$C$29,$A11,Observaciones!$K$5:$K$29,"Media")</f>
        <v/>
      </c>
      <c r="F11" s="4">
        <f>COUNTIFS(Observaciones!$C$5:$C$29,$A11,Observaciones!$K$5:$K$29,"Baja")</f>
        <v/>
      </c>
      <c r="G11" s="11" t="inlineStr">
        <is>
          <t>Nota: a la espera de versión final</t>
        </is>
      </c>
    </row>
    <row r="12">
      <c r="A12" s="4" t="inlineStr">
        <is>
          <t>Carolina Zambrano M.</t>
        </is>
      </c>
      <c r="B12" s="4">
        <f>COUNTIF(Observaciones!$C$5:$C$29,A12)</f>
        <v/>
      </c>
      <c r="C12" s="4">
        <f>COUNTIFS(Observaciones!$C$5:$C$29,$A12,Observaciones!$K$5:$K$29,"Crítica")</f>
        <v/>
      </c>
      <c r="D12" s="4">
        <f>COUNTIFS(Observaciones!$C$5:$C$29,$A12,Observaciones!$K$5:$K$29,"Alta")</f>
        <v/>
      </c>
      <c r="E12" s="4">
        <f>COUNTIFS(Observaciones!$C$5:$C$29,$A12,Observaciones!$K$5:$K$29,"Media")</f>
        <v/>
      </c>
      <c r="F12" s="4">
        <f>COUNTIFS(Observaciones!$C$5:$C$29,$A12,Observaciones!$K$5:$K$29,"Baja")</f>
        <v/>
      </c>
      <c r="G12" s="11" t="inlineStr">
        <is>
          <t>Nota: 5,9</t>
        </is>
      </c>
    </row>
    <row r="15">
      <c r="A15" s="12" t="inlineStr">
        <is>
          <t>Criterio de priorización</t>
        </is>
      </c>
    </row>
    <row r="16" ht="42" customHeight="1" s="24">
      <c r="A16" s="13" t="inlineStr">
        <is>
          <t>Crítica</t>
        </is>
      </c>
      <c r="B16" s="23" t="inlineStr">
        <is>
          <t>Condición para aprobar: el Prof. Román indica que, si no se corrige, recomendaría la reprobación y deja la nota pendiente. Incluye capítulos faltantes (requerimientos, pruebas, conclusiones) y evidencia del trabajo.</t>
        </is>
      </c>
    </row>
    <row r="17" ht="42" customHeight="1" s="24">
      <c r="A17" s="14" t="inlineStr">
        <is>
          <t>Alta</t>
        </is>
      </c>
      <c r="B17" s="23" t="inlineStr">
        <is>
          <t>Cambios de fondo que afectan la validez técnica (evaluación, score, interpretación de resultados), requisitos formales obligatorios o puntos señalados por ambos revisores.</t>
        </is>
      </c>
    </row>
    <row r="18" ht="42" customHeight="1" s="24">
      <c r="A18" s="15" t="inlineStr">
        <is>
          <t>Media</t>
        </is>
      </c>
      <c r="B18" s="23" t="inlineStr">
        <is>
          <t>Mejoras de contenido de bajo esfuerzo o que se resuelven al hacer una corrección de mayor prioridad.</t>
        </is>
      </c>
    </row>
    <row r="19" ht="42" customHeight="1" s="24">
      <c r="A19" s="16" t="inlineStr">
        <is>
          <t>Baja</t>
        </is>
      </c>
      <c r="B19" s="23" t="inlineStr">
        <is>
          <t>Forma y estilo; la Prof. Zambrano indica que no afectan la calidad técnica. Dejar para la revisión final.</t>
        </is>
      </c>
    </row>
    <row r="21">
      <c r="A21" s="12" t="inlineStr">
        <is>
          <t>Orden de trabajo sugerido</t>
        </is>
      </c>
    </row>
    <row r="22" ht="27.95" customHeight="1" s="24">
      <c r="A22" s="23" t="inlineStr">
        <is>
          <t>1. Aplicar la plantilla oficial (R-08) y reorganizar los capítulos: fusionar 1 y 2 (R-10), crear Requerimientos, Pruebas y Conclusiones vacíos.</t>
        </is>
      </c>
    </row>
    <row r="23" ht="27.95" customHeight="1" s="24">
      <c r="A23" s="23" t="inlineStr">
        <is>
          <t>2. Requerimientos y casos de uso (R-03), luego Diseño con los 4 diagramas sugeridos (R-04, Z-09) y la fórmula del score (Z-05).</t>
        </is>
      </c>
    </row>
    <row r="24" ht="27.95" customHeight="1" s="24">
      <c r="A24" s="23" t="inlineStr">
        <is>
          <t>3. Pruebas y evaluación: pruebas funcionales y de usuario (R-05), detalle de las 15 consultas y del ground truth (Z-04), matriz de trazabilidad (R-11).</t>
        </is>
      </c>
    </row>
    <row r="25" ht="27.95" customHeight="1" s="24">
      <c r="A25" s="23" t="inlineStr">
        <is>
          <t>4. Reinterpretar resultados (Z-06, Z-07) y escribir Conclusiones y Trabajo futuro (R-06, Z-08, R-02).</t>
        </is>
      </c>
    </row>
    <row r="26" ht="27.95" customHeight="1" s="24">
      <c r="A26" s="23" t="inlineStr">
        <is>
          <t>5. Ampliar el marco teórico (R-07, Z-10 a Z-14), evidencia y Gantt (R-01, R-09).</t>
        </is>
      </c>
    </row>
    <row r="27" ht="27.95" customHeight="1" s="24">
      <c r="A27" s="23" t="inlineStr">
        <is>
          <t>6. Revisión final de forma (Z-01, Z-02, Z-03) y marcar en amarillo los cambios en el PDF, como pide el formulario.</t>
        </is>
      </c>
    </row>
  </sheetData>
  <mergeCells count="10">
    <mergeCell ref="B16:G16"/>
    <mergeCell ref="B19:G19"/>
    <mergeCell ref="A27:G27"/>
    <mergeCell ref="A22:G22"/>
    <mergeCell ref="B17:G17"/>
    <mergeCell ref="A26:G26"/>
    <mergeCell ref="A24:G24"/>
    <mergeCell ref="B18:G18"/>
    <mergeCell ref="A25:G2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7" customWidth="1" style="24" min="1" max="2"/>
    <col width="18" customWidth="1" style="24" min="3" max="3"/>
    <col width="13" customWidth="1" style="24" min="4" max="4"/>
    <col width="20" customWidth="1" style="24" min="5" max="5"/>
    <col width="55" customWidth="1" style="24" min="6" max="7"/>
    <col width="8" customWidth="1" style="24" min="8" max="8"/>
    <col width="9" customWidth="1" style="24" min="9" max="10"/>
    <col width="10" customWidth="1" style="24" min="11" max="11"/>
    <col width="18" customWidth="1" style="24" min="12" max="12"/>
    <col width="38" customWidth="1" style="24" min="13" max="13"/>
    <col width="13" customWidth="1" style="24" min="14" max="14"/>
    <col width="40" customWidth="1" style="24" min="15" max="15"/>
  </cols>
  <sheetData>
    <row r="1" ht="18" customHeight="1" s="24">
      <c r="A1" s="26" t="inlineStr">
        <is>
          <t>Observaciones de revisión de memoria – Módulo de recuperación semántica con PLN (APPPapers)</t>
        </is>
      </c>
    </row>
    <row r="2">
      <c r="A2" s="25" t="inlineStr">
        <is>
          <t>Fuentes: Informe de revisión Prof. Pablo Román A. (PDF, nota: a la espera de versión final) · Informe de revisión Prof. Carolina Zambrano M. (Word, nota 5,9). Editar solo las columnas con fondo amarillo (Estado, Comentarios / respuesta).</t>
        </is>
      </c>
    </row>
    <row r="4" ht="30" customHeight="1" s="24">
      <c r="A4" s="2" t="inlineStr">
        <is>
          <t>Orden</t>
        </is>
      </c>
      <c r="B4" s="2" t="inlineStr">
        <is>
          <t>ID</t>
        </is>
      </c>
      <c r="C4" s="2" t="inlineStr">
        <is>
          <t>Revisor</t>
        </is>
      </c>
      <c r="D4" s="2" t="inlineStr">
        <is>
          <t>Sección del informe</t>
        </is>
      </c>
      <c r="E4" s="2" t="inlineStr">
        <is>
          <t>Capítulo afectado</t>
        </is>
      </c>
      <c r="F4" s="2" t="inlineStr">
        <is>
          <t>Observación</t>
        </is>
      </c>
      <c r="G4" s="2" t="inlineStr">
        <is>
          <t>Acción concreta a realizar</t>
        </is>
      </c>
      <c r="H4" s="2" t="inlineStr">
        <is>
          <t>Tipo</t>
        </is>
      </c>
      <c r="I4" s="2" t="inlineStr">
        <is>
          <t>Impacto</t>
        </is>
      </c>
      <c r="J4" s="2" t="inlineStr">
        <is>
          <t>Esfuerzo</t>
        </is>
      </c>
      <c r="K4" s="2" t="inlineStr">
        <is>
          <t>Prioridad</t>
        </is>
      </c>
      <c r="L4" s="2" t="inlineStr">
        <is>
          <t>Relacionada con</t>
        </is>
      </c>
      <c r="M4" s="2" t="inlineStr">
        <is>
          <t>Justificación de la prioridad</t>
        </is>
      </c>
      <c r="N4" s="2" t="inlineStr">
        <is>
          <t>Estado</t>
        </is>
      </c>
      <c r="O4" s="2" t="inlineStr">
        <is>
          <t>Comentarios / respuesta</t>
        </is>
      </c>
    </row>
    <row r="5" ht="51" customHeight="1" s="24">
      <c r="A5" s="18" t="n">
        <v>1</v>
      </c>
      <c r="B5" s="18" t="inlineStr">
        <is>
          <t>R-01</t>
        </is>
      </c>
      <c r="C5" s="19" t="inlineStr">
        <is>
          <t>Pablo Román A.</t>
        </is>
      </c>
      <c r="D5" s="19" t="inlineStr">
        <is>
          <t>Resumen</t>
        </is>
      </c>
      <c r="E5" s="19" t="inlineStr">
        <is>
          <t>Todo el documento</t>
        </is>
      </c>
      <c r="F5" s="19" t="inlineStr">
        <is>
          <t>El texto no muestra evidencia del trabajo realizado; "parece un informe de curso de seminario, no el contenido de una memoria". Recomienda reprobación si no se corrige.</t>
        </is>
      </c>
      <c r="G5" s="19" t="inlineStr">
        <is>
          <t>Incorporar evidencia concreta de la implementación: capturas de la app, fragmentos de código clave, estructura de módulos, ejemplos reales de consultas y respuestas, resultados obtenidos.</t>
        </is>
      </c>
      <c r="H5" s="18" t="inlineStr">
        <is>
          <t>Fondo</t>
        </is>
      </c>
      <c r="I5" s="18" t="inlineStr">
        <is>
          <t>Alto</t>
        </is>
      </c>
      <c r="J5" s="18" t="inlineStr">
        <is>
          <t>Alto</t>
        </is>
      </c>
      <c r="K5" s="18" t="inlineStr">
        <is>
          <t>Crítica</t>
        </is>
      </c>
      <c r="L5" s="19" t="inlineStr">
        <is>
          <t>R-02, R-11</t>
        </is>
      </c>
      <c r="M5" s="19" t="inlineStr">
        <is>
          <t>Condición explícita de aprobación del Prof. Román (amenaza de reprobación).</t>
        </is>
      </c>
      <c r="N5" s="20" t="inlineStr">
        <is>
          <t>Realizada</t>
        </is>
      </c>
      <c r="O5" s="21" t="inlineStr">
        <is>
          <t>Se agregó evidencia verificable: capturas reales de la aplicación con ejemplos de consulta y respuesta (Figs. 5 y 6 en la Secc. 5.1: consulta temática con 20 resultados y consulta por autor y período con 24 publicaciones; Fig. 7 en la Secc. 6.2: pestaña Evaluación con los valores de la Tabla 8), Cap. 3 (10 RF y 5 RNF), Cap. 6 con 34 pruebas automatizadas testthat aprobadas (Tabla 7), evaluación (6.2), matriz de trazabilidad (Tabla 10) y cumplimiento de objetivos (Tabla 15).</t>
        </is>
      </c>
    </row>
    <row r="6" ht="38.25" customHeight="1" s="24">
      <c r="A6" s="18" t="n">
        <v>2</v>
      </c>
      <c r="B6" s="18" t="inlineStr">
        <is>
          <t>R-02</t>
        </is>
      </c>
      <c r="C6" s="19" t="inlineStr">
        <is>
          <t>Pablo Román A.</t>
        </is>
      </c>
      <c r="D6" s="19" t="inlineStr">
        <is>
          <t>Resumen</t>
        </is>
      </c>
      <c r="E6" s="19" t="inlineStr">
        <is>
          <t>Objetivos / Conclusiones</t>
        </is>
      </c>
      <c r="F6" s="19" t="inlineStr">
        <is>
          <t>No se muestra que los objetivos descritos fueron realizados.</t>
        </is>
      </c>
      <c r="G6" s="19" t="inlineStr">
        <is>
          <t>Agregar una tabla de trazabilidad Objetivo específico → Sección/evidencia donde se cumple → Resultado. Retomarla en las conclusiones.</t>
        </is>
      </c>
      <c r="H6" s="18" t="inlineStr">
        <is>
          <t>Fondo</t>
        </is>
      </c>
      <c r="I6" s="18" t="inlineStr">
        <is>
          <t>Alto</t>
        </is>
      </c>
      <c r="J6" s="18" t="inlineStr">
        <is>
          <t>Medio</t>
        </is>
      </c>
      <c r="K6" s="18" t="inlineStr">
        <is>
          <t>Crítica</t>
        </is>
      </c>
      <c r="L6" s="19" t="inlineStr">
        <is>
          <t>R-01, R-13</t>
        </is>
      </c>
      <c r="M6" s="19" t="inlineStr">
        <is>
          <t>Condición explícita de aprobación del Prof. Román.</t>
        </is>
      </c>
      <c r="N6" s="20" t="inlineStr">
        <is>
          <t>Realizada</t>
        </is>
      </c>
      <c r="O6" s="21" t="inlineStr">
        <is>
          <t>Tabla 15 (Conclusiones): cada objetivo (OE1-OE5 y general) con la sección donde se documenta, la evidencia (pruebas y métricas) y su estado; retomada en las conclusiones.</t>
        </is>
      </c>
    </row>
    <row r="7" ht="38.25" customHeight="1" s="24">
      <c r="A7" s="18" t="n">
        <v>3</v>
      </c>
      <c r="B7" s="18" t="inlineStr">
        <is>
          <t>R-03</t>
        </is>
      </c>
      <c r="C7" s="19" t="inlineStr">
        <is>
          <t>Pablo Román A.</t>
        </is>
      </c>
      <c r="D7" s="19" t="inlineStr">
        <is>
          <t>Contenido</t>
        </is>
      </c>
      <c r="E7" s="19" t="inlineStr">
        <is>
          <t>Nuevo capítulo de Requerimientos</t>
        </is>
      </c>
      <c r="F7" s="19" t="inlineStr">
        <is>
          <t>Debe existir un capítulo de requerimientos escrito formalmente como en Ingeniería de Software. ¿Dónde están los casos de uso?</t>
        </is>
      </c>
      <c r="G7" s="19" t="inlineStr">
        <is>
          <t>Crear capítulo de Requerimientos: requisitos funcionales y no funcionales (con ID), diagrama y especificación de casos de uso. Mover aquí los casos de uso que hoy están en Diseño.</t>
        </is>
      </c>
      <c r="H7" s="18" t="inlineStr">
        <is>
          <t>Fondo</t>
        </is>
      </c>
      <c r="I7" s="18" t="inlineStr">
        <is>
          <t>Alto</t>
        </is>
      </c>
      <c r="J7" s="18" t="inlineStr">
        <is>
          <t>Alto</t>
        </is>
      </c>
      <c r="K7" s="18" t="inlineStr">
        <is>
          <t>Crítica</t>
        </is>
      </c>
      <c r="L7" s="19" t="inlineStr">
        <is>
          <t>R-04, R-10</t>
        </is>
      </c>
      <c r="M7" s="19" t="inlineStr">
        <is>
          <t>Capítulo faltante exigido; base para la trazabilidad de requisitos.</t>
        </is>
      </c>
      <c r="N7" s="20" t="inlineStr">
        <is>
          <t>Realizada</t>
        </is>
      </c>
      <c r="O7" s="21" t="inlineStr">
        <is>
          <t>Nuevo Capítulo 3 «Requerimientos»: 10 requerimientos funcionales con ID, origen y caso de uso (Tabla 2), 5 no funcionales con criterio de aceptación verificable (Tabla 3) y casos de uso movidos desde Diseño a la Secc. 3.3 (Tabla 4). Capítulos, secciones, tablas, referencias e índices renumerados.</t>
        </is>
      </c>
    </row>
    <row r="8" ht="51" customHeight="1" s="24">
      <c r="A8" s="18" t="n">
        <v>4</v>
      </c>
      <c r="B8" s="18" t="inlineStr">
        <is>
          <t>R-04</t>
        </is>
      </c>
      <c r="C8" s="19" t="inlineStr">
        <is>
          <t>Pablo Román A.</t>
        </is>
      </c>
      <c r="D8" s="19" t="inlineStr">
        <is>
          <t>Contenido</t>
        </is>
      </c>
      <c r="E8" s="19" t="inlineStr">
        <is>
          <t>Diseño del sistema</t>
        </is>
      </c>
      <c r="F8" s="19" t="inlineStr">
        <is>
          <t>El diseño del sistema está en extremo pobre, no sigue las metodologías de los cursos de Ingeniería de Software; los casos de uso están mal ubicados y no hay orden.</t>
        </is>
      </c>
      <c r="G8" s="19" t="inlineStr">
        <is>
          <t>Reescribir el capítulo de Diseño siguiendo metodología de IngSoft: arquitectura, diagrama de componentes, diagrama de flujo de datos, diagramas de secuencia/actividad del pipeline, modelo de datos.</t>
        </is>
      </c>
      <c r="H8" s="18" t="inlineStr">
        <is>
          <t>Fondo</t>
        </is>
      </c>
      <c r="I8" s="18" t="inlineStr">
        <is>
          <t>Alto</t>
        </is>
      </c>
      <c r="J8" s="18" t="inlineStr">
        <is>
          <t>Alto</t>
        </is>
      </c>
      <c r="K8" s="18" t="inlineStr">
        <is>
          <t>Crítica</t>
        </is>
      </c>
      <c r="L8" s="19" t="inlineStr">
        <is>
          <t>Z-09, R-03</t>
        </is>
      </c>
      <c r="M8" s="19" t="inlineStr">
        <is>
          <t>Ambos revisores piden reforzar el diseño; para Román es bloqueante.</t>
        </is>
      </c>
      <c r="N8" s="20" t="inlineStr">
        <is>
          <t>Realizada</t>
        </is>
      </c>
      <c r="O8" s="21" t="inlineStr">
        <is>
          <t>Capítulo 4 «Diseño del sistema» con arquitectura en capas (Fig. 1), componentes (Tabla 5), modelo de datos (Tabla 6), pipeline y flujo de datos (Figs. 2 y 3) y diagrama de secuencia de una consulta con los archivos y funciones del código que intervienen (Fig. 4, Secc. 4.4); los casos de uso pasaron al Cap. 3.</t>
        </is>
      </c>
    </row>
    <row r="9" ht="51" customHeight="1" s="24">
      <c r="A9" s="18" t="n">
        <v>5</v>
      </c>
      <c r="B9" s="18" t="inlineStr">
        <is>
          <t>R-05</t>
        </is>
      </c>
      <c r="C9" s="19" t="inlineStr">
        <is>
          <t>Pablo Román A.</t>
        </is>
      </c>
      <c r="D9" s="19" t="inlineStr">
        <is>
          <t>Contenido</t>
        </is>
      </c>
      <c r="E9" s="19" t="inlineStr">
        <is>
          <t>Evaluación / Pruebas</t>
        </is>
      </c>
      <c r="F9" s="19" t="inlineStr">
        <is>
          <t>¿Dónde están los tests? ¿Las pruebas de usuario? Falta la evaluación del sistema.</t>
        </is>
      </c>
      <c r="G9" s="19" t="inlineStr">
        <is>
          <t>Agregar capítulo de Pruebas y Evaluación: pruebas unitarias/funcionales de los módulos, pruebas de usuario (protocolo, participantes, resultados) y la evaluación de recuperación (métricas).</t>
        </is>
      </c>
      <c r="H9" s="18" t="inlineStr">
        <is>
          <t>Fondo</t>
        </is>
      </c>
      <c r="I9" s="18" t="inlineStr">
        <is>
          <t>Alto</t>
        </is>
      </c>
      <c r="J9" s="18" t="inlineStr">
        <is>
          <t>Alto</t>
        </is>
      </c>
      <c r="K9" s="18" t="inlineStr">
        <is>
          <t>Crítica</t>
        </is>
      </c>
      <c r="L9" s="19" t="inlineStr">
        <is>
          <t>R-11, Z-04</t>
        </is>
      </c>
      <c r="M9" s="19" t="inlineStr">
        <is>
          <t>Capítulo faltante exigido por Román; Zambrano también pide detallar la evaluación.</t>
        </is>
      </c>
      <c r="N9" s="20" t="inlineStr">
        <is>
          <t>Realizada</t>
        </is>
      </c>
      <c r="O9" s="21" t="inlineStr">
        <is>
          <t>Nuevo Capítulo 6 «Pruebas y evaluación»: 34 pruebas automatizadas con testthat (unitarias, de integración sobre el corpus real y funcional de la app con shiny::testServer), todas aprobadas (Tabla 7), en tests/ del repositorio; la evaluación de recuperación pasó a la Secc. 6.2. Las pruebas detectaron y se corrigió un error en calcular_tp (las métricas no cambiaron). Secc. 6.4: prueba exploratoria de usabilidad con 5 participantes que no participaron en el desarrollo (3 estudiantes de la USACH), remota y de uso libre, con la escala SUS (Brooke, 1996) y dos preguntas abiertas: SUS promedio 92,5 (87,5-97,5); la mejora más pedida es reducir el tiempo de espera al iniciar. Se declaran sus límites (sin tareas medidas, sin observación directa, n = 5).</t>
        </is>
      </c>
    </row>
    <row r="10" ht="25.5" customHeight="1" s="24">
      <c r="A10" s="18" t="n">
        <v>6</v>
      </c>
      <c r="B10" s="18" t="inlineStr">
        <is>
          <t>R-06</t>
        </is>
      </c>
      <c r="C10" s="19" t="inlineStr">
        <is>
          <t>Pablo Román A.</t>
        </is>
      </c>
      <c r="D10" s="19" t="inlineStr">
        <is>
          <t>Contenido</t>
        </is>
      </c>
      <c r="E10" s="19" t="inlineStr">
        <is>
          <t>Conclusiones</t>
        </is>
      </c>
      <c r="F10" s="19" t="inlineStr">
        <is>
          <t>¿Las conclusiones y el trabajo futuro?</t>
        </is>
      </c>
      <c r="G10" s="19" t="inlineStr">
        <is>
          <t>Agregar capítulo de Conclusiones (cumplimiento de objetivos, aportes, limitaciones) y sección de Trabajo futuro.</t>
        </is>
      </c>
      <c r="H10" s="18" t="inlineStr">
        <is>
          <t>Fondo</t>
        </is>
      </c>
      <c r="I10" s="18" t="inlineStr">
        <is>
          <t>Alto</t>
        </is>
      </c>
      <c r="J10" s="18" t="inlineStr">
        <is>
          <t>Medio</t>
        </is>
      </c>
      <c r="K10" s="18" t="inlineStr">
        <is>
          <t>Crítica</t>
        </is>
      </c>
      <c r="L10" s="19" t="inlineStr">
        <is>
          <t>Z-08, R-02</t>
        </is>
      </c>
      <c r="M10" s="19" t="inlineStr">
        <is>
          <t>Capítulo faltante; ambos revisores lo piden.</t>
        </is>
      </c>
      <c r="N10" s="20" t="inlineStr">
        <is>
          <t>Realizada</t>
        </is>
      </c>
      <c r="O10" s="21" t="inlineStr">
        <is>
          <t>Conclusiones (cumplimiento de objetivos en la Tabla 15, aportes y limitaciones) y apartado «Trabajo futuro» (7 líneas, incluidas pruebas con usuarios). Siguiendo la guía de la biblioteca, las conclusiones no se numeran como capítulo.</t>
        </is>
      </c>
    </row>
    <row r="11" ht="25.5" customHeight="1" s="24">
      <c r="A11" s="18" t="n">
        <v>7</v>
      </c>
      <c r="B11" s="18" t="inlineStr">
        <is>
          <t>R-07</t>
        </is>
      </c>
      <c r="C11" s="19" t="inlineStr">
        <is>
          <t>Pablo Román A.</t>
        </is>
      </c>
      <c r="D11" s="19" t="inlineStr">
        <is>
          <t>Contenido</t>
        </is>
      </c>
      <c r="E11" s="19" t="inlineStr">
        <is>
          <t>Marco teórico</t>
        </is>
      </c>
      <c r="F11" s="19" t="inlineStr">
        <is>
          <t>El marco teórico está muy pobre.</t>
        </is>
      </c>
      <c r="G11" s="19" t="inlineStr">
        <is>
          <t>Ampliar el marco teórico (~4 páginas con ejemplos) siguiendo las sugerencias detalladas de Z-10 a Z-14.</t>
        </is>
      </c>
      <c r="H11" s="18" t="inlineStr">
        <is>
          <t>Fondo</t>
        </is>
      </c>
      <c r="I11" s="18" t="inlineStr">
        <is>
          <t>Alto</t>
        </is>
      </c>
      <c r="J11" s="18" t="inlineStr">
        <is>
          <t>Alto</t>
        </is>
      </c>
      <c r="K11" s="18" t="inlineStr">
        <is>
          <t>Crítica</t>
        </is>
      </c>
      <c r="L11" s="19" t="inlineStr">
        <is>
          <t>Z-10, Z-11, Z-12, Z-13, Z-14</t>
        </is>
      </c>
      <c r="M11" s="19" t="inlineStr">
        <is>
          <t>Ambos revisores lo piden; Zambrano entrega la pauta concreta.</t>
        </is>
      </c>
      <c r="N11" s="20" t="inlineStr">
        <is>
          <t>Realizada</t>
        </is>
      </c>
      <c r="O11" s="21" t="inlineStr">
        <is>
          <t>Se amplió con léxica vs. semántica (2.2), difusa y sinónimos (2.3), embeddings (2.4), híbrida (2.5) y métricas (2.8).</t>
        </is>
      </c>
    </row>
    <row r="12" ht="38.25" customHeight="1" s="24">
      <c r="A12" s="18" t="n">
        <v>8</v>
      </c>
      <c r="B12" s="18" t="inlineStr">
        <is>
          <t>R-11</t>
        </is>
      </c>
      <c r="C12" s="19" t="inlineStr">
        <is>
          <t>Pablo Román A.</t>
        </is>
      </c>
      <c r="D12" s="19" t="inlineStr">
        <is>
          <t>Resumen</t>
        </is>
      </c>
      <c r="E12" s="19" t="inlineStr">
        <is>
          <t>Evaluación / Requisitos / Resultados</t>
        </is>
      </c>
      <c r="F12" s="19" t="inlineStr">
        <is>
          <t>Se requieren correcciones sustantivas en la documentación de la evaluación, la trazabilidad de requisitos y la interpretación de resultados antes de cerrar la revisión.</t>
        </is>
      </c>
      <c r="G12" s="19" t="inlineStr">
        <is>
          <t>Documentar metodología de evaluación (ver Z-04), matriz de trazabilidad requisito → componente → prueba, y reinterpretar resultados (ver Z-06, Z-07).</t>
        </is>
      </c>
      <c r="H12" s="18" t="inlineStr">
        <is>
          <t>Fondo</t>
        </is>
      </c>
      <c r="I12" s="18" t="inlineStr">
        <is>
          <t>Alto</t>
        </is>
      </c>
      <c r="J12" s="18" t="inlineStr">
        <is>
          <t>Alto</t>
        </is>
      </c>
      <c r="K12" s="18" t="inlineStr">
        <is>
          <t>Crítica</t>
        </is>
      </c>
      <c r="L12" s="19" t="inlineStr">
        <is>
          <t>Z-04, Z-06, Z-07, R-03, R-05</t>
        </is>
      </c>
      <c r="M12" s="19" t="inlineStr">
        <is>
          <t>Condición explícita para cerrar la revisión.</t>
        </is>
      </c>
      <c r="N12" s="20" t="inlineStr">
        <is>
          <t>Realizada</t>
        </is>
      </c>
      <c r="O12" s="21" t="inlineStr">
        <is>
          <t>Evaluación reconstruida y reinterpretada (Secc. 6.2, Tablas 8 y 9) y matriz de trazabilidad requisito → componente → prueba (Tabla 10, Secc. 6.3), con todas las pruebas aprobadas salvo RNF-04, verificado por inspección.</t>
        </is>
      </c>
    </row>
    <row r="13" ht="38.25" customHeight="1" s="24">
      <c r="A13" s="18" t="n">
        <v>9</v>
      </c>
      <c r="B13" s="18" t="inlineStr">
        <is>
          <t>R-08</t>
        </is>
      </c>
      <c r="C13" s="19" t="inlineStr">
        <is>
          <t>Pablo Román A.</t>
        </is>
      </c>
      <c r="D13" s="19" t="inlineStr">
        <is>
          <t>Formato</t>
        </is>
      </c>
      <c r="E13" s="19" t="inlineStr">
        <is>
          <t>Portada / Formato general</t>
        </is>
      </c>
      <c r="F13" s="19" t="inlineStr">
        <is>
          <t>Debe seguir el formato oficial de memorias de título. La portada dice otra cosa.</t>
        </is>
      </c>
      <c r="G13" s="19" t="inlineStr">
        <is>
          <t>Aplicar la plantilla oficial de memoria del DIINF (portada, índices, márgenes, numeración, estructura). Corregir el texto de la portada.</t>
        </is>
      </c>
      <c r="H13" s="18" t="inlineStr">
        <is>
          <t>Forma</t>
        </is>
      </c>
      <c r="I13" s="18" t="inlineStr">
        <is>
          <t>Alto</t>
        </is>
      </c>
      <c r="J13" s="18" t="inlineStr">
        <is>
          <t>Bajo</t>
        </is>
      </c>
      <c r="K13" s="18" t="inlineStr">
        <is>
          <t>Alta</t>
        </is>
      </c>
      <c r="L13" s="19" t="inlineStr">
        <is>
          <t>Z-01</t>
        </is>
      </c>
      <c r="M13" s="19" t="inlineStr">
        <is>
          <t>Requisito formal obligatorio y de bajo esfuerzo: conviene resolverlo primero.</t>
        </is>
      </c>
      <c r="N13" s="20" t="inlineStr">
        <is>
          <t>Realizada</t>
        </is>
      </c>
      <c r="O13" s="21" t="inlineStr">
        <is>
          <t>Portada con la plantilla oficial de la Facultad de Ingeniería (Sistema de Bibliotecas Usach) en una página sin número; resumen de 264 palabras (máx. 300) con 4 palabras clave; tabla de contenido automática sin resumen ni abstract; páginas numeradas e índices de tablas y figuras con página; conclusiones, glosario (orden alfabético) y referencias sin numerar.</t>
        </is>
      </c>
    </row>
    <row r="14" ht="38.25" customHeight="1" s="24">
      <c r="A14" s="18" t="n">
        <v>10</v>
      </c>
      <c r="B14" s="18" t="inlineStr">
        <is>
          <t>R-09</t>
        </is>
      </c>
      <c r="C14" s="19" t="inlineStr">
        <is>
          <t>Pablo Román A.</t>
        </is>
      </c>
      <c r="D14" s="19" t="inlineStr">
        <is>
          <t>Contenido</t>
        </is>
      </c>
      <c r="E14" s="19" t="inlineStr">
        <is>
          <t>Capítulos 1 y 2</t>
        </is>
      </c>
      <c r="F14" s="19" t="inlineStr">
        <is>
          <t>Falta ambiente de trabajo, Gantt que muestre el trabajo realizado y metodología.</t>
        </is>
      </c>
      <c r="G14" s="19" t="inlineStr">
        <is>
          <t>Agregar secciones: Ambiente de trabajo (hardware, software, herramientas), Metodología de desarrollo y Carta Gantt con las actividades realmente ejecutadas.</t>
        </is>
      </c>
      <c r="H14" s="18" t="inlineStr">
        <is>
          <t>Fondo</t>
        </is>
      </c>
      <c r="I14" s="18" t="inlineStr">
        <is>
          <t>Alto</t>
        </is>
      </c>
      <c r="J14" s="18" t="inlineStr">
        <is>
          <t>Medio</t>
        </is>
      </c>
      <c r="K14" s="18" t="inlineStr">
        <is>
          <t>Alta</t>
        </is>
      </c>
      <c r="L14" s="19" t="inlineStr">
        <is>
          <t>R-01, R-10</t>
        </is>
      </c>
      <c r="M14" s="19" t="inlineStr">
        <is>
          <t>Contenido estándar de una memoria; además aporta evidencia del trabajo (R-01).</t>
        </is>
      </c>
      <c r="N14" s="20" t="inlineStr">
        <is>
          <t>Realizada</t>
        </is>
      </c>
      <c r="O14" s="21" t="inlineStr">
        <is>
          <t>Carta Gantt de actividades realizadas (Fig. 8, Secc. 7.1) y ambiente de trabajo con versiones (Tabla 12, Secc. 7.4).</t>
        </is>
      </c>
    </row>
    <row r="15" ht="38.25" customHeight="1" s="24">
      <c r="A15" s="18" t="n">
        <v>11</v>
      </c>
      <c r="B15" s="18" t="inlineStr">
        <is>
          <t>Z-04</t>
        </is>
      </c>
      <c r="C15" s="19" t="inlineStr">
        <is>
          <t>Carolina Zambrano M.</t>
        </is>
      </c>
      <c r="D15" s="19" t="inlineStr">
        <is>
          <t>Contenido</t>
        </is>
      </c>
      <c r="E15" s="19" t="inlineStr">
        <is>
          <t>Evaluación</t>
        </is>
      </c>
      <c r="F15" s="19" t="inlineStr">
        <is>
          <t>Describir la evaluación con más detalle: cómo se seleccionaron las 15 consultas y cómo se construyó manualmente el ground truth para evaluar los 3.914 documentos.</t>
        </is>
      </c>
      <c r="G15" s="19" t="inlineStr">
        <is>
          <t>Agregar subsección de diseño experimental: criterio de selección de las 15 consultas (listarlas), procedimiento de etiquetado de relevancia, quién etiquetó y criterios usados.</t>
        </is>
      </c>
      <c r="H15" s="18" t="inlineStr">
        <is>
          <t>Fondo</t>
        </is>
      </c>
      <c r="I15" s="18" t="inlineStr">
        <is>
          <t>Alto</t>
        </is>
      </c>
      <c r="J15" s="18" t="inlineStr">
        <is>
          <t>Medio</t>
        </is>
      </c>
      <c r="K15" s="18" t="inlineStr">
        <is>
          <t>Alta</t>
        </is>
      </c>
      <c r="L15" s="19" t="inlineStr">
        <is>
          <t>R-05, R-11</t>
        </is>
      </c>
      <c r="M15" s="19" t="inlineStr">
        <is>
          <t>Coincide con lo que Román exige sobre la evaluación.</t>
        </is>
      </c>
      <c r="N15" s="20" t="inlineStr">
        <is>
          <t>Realizada</t>
        </is>
      </c>
      <c r="O15" s="21" t="inlineStr">
        <is>
          <t>Sección 6.2 y Tabla 9: las 15 consultas, su criterio de relevancia y el procedimiento de construcción del ground truth (agrupación de 1.546 candidatos desde los sistemas y un patrón temático independiente; juicio a ciegas con criterios escritos en dos revisiones independientes asistidas por un modelo de lenguaje, kappa = 0,93), y verificación del autor en una muestra de 50 candidatos (94 % de acuerdo, kappa = 0,87). El ground truth anterior se reemplazó por sus sesgos.</t>
        </is>
      </c>
    </row>
    <row r="16" ht="38.25" customHeight="1" s="24">
      <c r="A16" s="18" t="n">
        <v>12</v>
      </c>
      <c r="B16" s="18" t="inlineStr">
        <is>
          <t>Z-05</t>
        </is>
      </c>
      <c r="C16" s="19" t="inlineStr">
        <is>
          <t>Carolina Zambrano M.</t>
        </is>
      </c>
      <c r="D16" s="19" t="inlineStr">
        <is>
          <t>Contenido</t>
        </is>
      </c>
      <c r="E16" s="19" t="inlineStr">
        <is>
          <t>Diseño / Implementación</t>
        </is>
      </c>
      <c r="F16" s="19" t="inlineStr">
        <is>
          <t>Explicitar el cálculo del score_semantico: cómo se combinan y ponderan la búsqueda difusa, la expansión de sinónimos y la similitud por embeddings.</t>
        </is>
      </c>
      <c r="G16" s="19" t="inlineStr">
        <is>
          <t>Incluir la fórmula del score_semantico con sus pesos y umbrales, y un ejemplo numérico con una consulta real.</t>
        </is>
      </c>
      <c r="H16" s="18" t="inlineStr">
        <is>
          <t>Fondo</t>
        </is>
      </c>
      <c r="I16" s="18" t="inlineStr">
        <is>
          <t>Alto</t>
        </is>
      </c>
      <c r="J16" s="18" t="inlineStr">
        <is>
          <t>Bajo</t>
        </is>
      </c>
      <c r="K16" s="18" t="inlineStr">
        <is>
          <t>Alta</t>
        </is>
      </c>
      <c r="L16" s="19" t="inlineStr">
        <is>
          <t>Z-11, R-04</t>
        </is>
      </c>
      <c r="M16" s="19" t="inlineStr">
        <is>
          <t>Núcleo técnico del aporte; bajo esfuerzo.</t>
        </is>
      </c>
      <c r="N16" s="20" t="inlineStr">
        <is>
          <t>Realizada</t>
        </is>
      </c>
      <c r="O16" s="21" t="inlineStr">
        <is>
          <t>Sección 4.4: fórmula score_semantico = 0,60·s_emb + 0,25·s_dif + 0,15·s_sin, definición de cada componente, umbral de 0,20, máximo de 20 resultados, fórmula del modo sin embeddings y ejemplo numérico con la consulta «aprendizaje automático en educación». Para que el texto corresponda al código, esta fusión se implementó en nlp_semantic_scoring.R.</t>
        </is>
      </c>
    </row>
    <row r="17" ht="51" customHeight="1" s="24">
      <c r="A17" s="18" t="n">
        <v>13</v>
      </c>
      <c r="B17" s="18" t="inlineStr">
        <is>
          <t>Z-06</t>
        </is>
      </c>
      <c r="C17" s="19" t="inlineStr">
        <is>
          <t>Carolina Zambrano M.</t>
        </is>
      </c>
      <c r="D17" s="19" t="inlineStr">
        <is>
          <t>Contenido</t>
        </is>
      </c>
      <c r="E17" s="19" t="inlineStr">
        <is>
          <t>Resultados</t>
        </is>
      </c>
      <c r="F17" s="19" t="inlineStr">
        <is>
          <t>Revisar la interpretación: el recall sube de 0,2567 a 0,7400, pero la precisión baja de 0,0996 a 0,0215 y el F1 de 0,0921 a 0,0410. Evitar presentar el sistema como globalmente superior al baseline.</t>
        </is>
      </c>
      <c r="G17" s="19" t="inlineStr">
        <is>
          <t>Reescribir el análisis de resultados reportando las tres métricas con equilibrio; ajustar resumen, discusión y conclusiones para no afirmar superioridad global.</t>
        </is>
      </c>
      <c r="H17" s="18" t="inlineStr">
        <is>
          <t>Fondo</t>
        </is>
      </c>
      <c r="I17" s="18" t="inlineStr">
        <is>
          <t>Alto</t>
        </is>
      </c>
      <c r="J17" s="18" t="inlineStr">
        <is>
          <t>Bajo</t>
        </is>
      </c>
      <c r="K17" s="18" t="inlineStr">
        <is>
          <t>Alta</t>
        </is>
      </c>
      <c r="L17" s="19" t="inlineStr">
        <is>
          <t>R-11, Z-07, Z-14</t>
        </is>
      </c>
      <c r="M17" s="19" t="inlineStr">
        <is>
          <t>Afecta la validez de las conclusiones; ambos revisores lo mencionan.</t>
        </is>
      </c>
      <c r="N17" s="20" t="inlineStr">
        <is>
          <t>Realizada</t>
        </is>
      </c>
      <c r="O17" s="21" t="inlineStr">
        <is>
          <t>Resumen y Sección 6.2 reescritos con precisión, recall y F1 de baseline, búsqueda difusa y sistema híbrido (Tablas 8 y 9): la búsqueda difusa sube el recall (0,2277 → 0,7707) pero tiene la menor precisión (0,1060). Se explicita que el sistema no debe presentarse como superior en términos generales y se discuten los sesgos y límites de la evaluación.</t>
        </is>
      </c>
    </row>
    <row r="18" ht="38.25" customHeight="1" s="24">
      <c r="A18" s="18" t="n">
        <v>14</v>
      </c>
      <c r="B18" s="18" t="inlineStr">
        <is>
          <t>Z-07</t>
        </is>
      </c>
      <c r="C18" s="19" t="inlineStr">
        <is>
          <t>Carolina Zambrano M.</t>
        </is>
      </c>
      <c r="D18" s="19" t="inlineStr">
        <is>
          <t>Contenido</t>
        </is>
      </c>
      <c r="E18" s="19" t="inlineStr">
        <is>
          <t>Resultados / Discusión</t>
        </is>
      </c>
      <c r="F18" s="19" t="inlineStr">
        <is>
          <t>Mejorar la explicación de la baja precisión: no presentarla como consecuencia "inherente" del trade-off precisión-recall, sino como limitación de la implementación actual.</t>
        </is>
      </c>
      <c r="G18" s="19" t="inlineStr">
        <is>
          <t>Reconocer la baja precisión como limitación y proponer mejoras: filtrado, ajuste de umbrales, re-ranking.</t>
        </is>
      </c>
      <c r="H18" s="18" t="inlineStr">
        <is>
          <t>Fondo</t>
        </is>
      </c>
      <c r="I18" s="18" t="inlineStr">
        <is>
          <t>Alto</t>
        </is>
      </c>
      <c r="J18" s="18" t="inlineStr">
        <is>
          <t>Bajo</t>
        </is>
      </c>
      <c r="K18" s="18" t="inlineStr">
        <is>
          <t>Alta</t>
        </is>
      </c>
      <c r="L18" s="19" t="inlineStr">
        <is>
          <t>Z-06, Z-08</t>
        </is>
      </c>
      <c r="M18" s="19" t="inlineStr">
        <is>
          <t>Ligada a la correcta interpretación de resultados.</t>
        </is>
      </c>
      <c r="N18" s="20" t="inlineStr">
        <is>
          <t>Realizada</t>
        </is>
      </c>
      <c r="O18" s="21" t="inlineStr">
        <is>
          <t>Sección 6.2: la baja precisión se presenta como limitación de usar la búsqueda difusa sin ordenamiento ni corte, no como consecuencia inherente del trade-off. Se implementó el filtrado (umbral de 0,20 y máximo de 20 resultados por score_semantico), con el que la precisión sube a 0,6333; la calibración de umbrales y el re-ranking quedan en el apartado «Trabajo futuro».</t>
        </is>
      </c>
    </row>
    <row r="19" ht="63.75" customHeight="1" s="24">
      <c r="A19" s="18" t="n">
        <v>15</v>
      </c>
      <c r="B19" s="18" t="inlineStr">
        <is>
          <t>Z-09</t>
        </is>
      </c>
      <c r="C19" s="19" t="inlineStr">
        <is>
          <t>Carolina Zambrano M.</t>
        </is>
      </c>
      <c r="D19" s="19" t="inlineStr">
        <is>
          <t>Contenido</t>
        </is>
      </c>
      <c r="E19" s="19" t="inlineStr">
        <is>
          <t>Diseño del sistema</t>
        </is>
      </c>
      <c r="F19" s="19" t="inlineStr">
        <is>
          <t>Agregar esquemas del diseño del sistema. La profesora adjunta ejemplos: arquitectura general por capas (UI, Server, NLP/UTILS, Persistencia), pipeline de procesamiento de una consulta (7 etapas), diagrama de flujo de datos y diagrama de componentes y tecnologías.</t>
        </is>
      </c>
      <c r="G19" s="19" t="inlineStr">
        <is>
          <t>Elaborar e incluir los 4 diagramas sugeridos, con numeración de figura y explicación en el texto.</t>
        </is>
      </c>
      <c r="H19" s="18" t="inlineStr">
        <is>
          <t>Fondo</t>
        </is>
      </c>
      <c r="I19" s="18" t="inlineStr">
        <is>
          <t>Alto</t>
        </is>
      </c>
      <c r="J19" s="18" t="inlineStr">
        <is>
          <t>Medio</t>
        </is>
      </c>
      <c r="K19" s="18" t="inlineStr">
        <is>
          <t>Alta</t>
        </is>
      </c>
      <c r="L19" s="19" t="inlineStr">
        <is>
          <t>R-04</t>
        </is>
      </c>
      <c r="M19" s="19" t="inlineStr">
        <is>
          <t>Resuelve en buena parte la crítica de Román sobre el diseño.</t>
        </is>
      </c>
      <c r="N19" s="20" t="inlineStr">
        <is>
          <t>Realizada</t>
        </is>
      </c>
      <c r="O19" s="21" t="inlineStr">
        <is>
          <t>Se agregaron las Figuras 1 (arquitectura en capas, Sección 4.1), 2 (pipeline de 7 etapas, 4.4), 3 (flujo de datos, 4.4), 4 (diagrama de secuencia con los archivos y funciones del código, 4.4) y 9 (componentes y tecnologías con sus versiones, 7.3), elaboradas a partir del código vigente y citadas en el texto.</t>
        </is>
      </c>
    </row>
    <row r="20" ht="51" customHeight="1" s="24">
      <c r="A20" s="18" t="n">
        <v>16</v>
      </c>
      <c r="B20" s="18" t="inlineStr">
        <is>
          <t>Z-11</t>
        </is>
      </c>
      <c r="C20" s="19" t="inlineStr">
        <is>
          <t>Carolina Zambrano M.</t>
        </is>
      </c>
      <c r="D20" s="19" t="inlineStr">
        <is>
          <t>Marco teórico</t>
        </is>
      </c>
      <c r="E20" s="19" t="inlineStr">
        <is>
          <t>Marco teórico (nueva 3.5)</t>
        </is>
      </c>
      <c r="F20" s="19" t="inlineStr">
        <is>
          <t>Incorporar una subsección específica "3.5 Recuperación híbrida de información" (principal sugerencia del marco teórico): la complementariedad entre coincidencia léxica y similitud semántica.</t>
        </is>
      </c>
      <c r="G20" s="19" t="inlineStr">
        <is>
          <t>Redactar la sección 3.5 con fundamento conceptual del enfoque híbrido y referencias.</t>
        </is>
      </c>
      <c r="H20" s="18" t="inlineStr">
        <is>
          <t>Fondo</t>
        </is>
      </c>
      <c r="I20" s="18" t="inlineStr">
        <is>
          <t>Alto</t>
        </is>
      </c>
      <c r="J20" s="18" t="inlineStr">
        <is>
          <t>Medio</t>
        </is>
      </c>
      <c r="K20" s="18" t="inlineStr">
        <is>
          <t>Alta</t>
        </is>
      </c>
      <c r="L20" s="19" t="inlineStr">
        <is>
          <t>R-07, Z-05</t>
        </is>
      </c>
      <c r="M20" s="19" t="inlineStr">
        <is>
          <t>La revisora la señala como la principal sugerencia del marco teórico.</t>
        </is>
      </c>
      <c r="N20" s="20" t="inlineStr">
        <is>
          <t>Realizada</t>
        </is>
      </c>
      <c r="O20" s="21" t="inlineStr">
        <is>
          <t>Nueva Sección 2.5 «Recuperación híbrida de información»: complementariedad léxica-semántica, fusión por puntajes (combinación convexa) y por rangos (RRF), y relación con el score_semantico del sistema. Referencias: Bruch et al. (2023) y Cormack et al. (2009).</t>
        </is>
      </c>
    </row>
    <row r="21" ht="51" customHeight="1" s="24">
      <c r="A21" s="18" t="n">
        <v>17</v>
      </c>
      <c r="B21" s="18" t="inlineStr">
        <is>
          <t>Z-14</t>
        </is>
      </c>
      <c r="C21" s="19" t="inlineStr">
        <is>
          <t>Carolina Zambrano M.</t>
        </is>
      </c>
      <c r="D21" s="19" t="inlineStr">
        <is>
          <t>Marco teórico</t>
        </is>
      </c>
      <c r="E21" s="19" t="inlineStr">
        <is>
          <t>Marco teórico (métricas)</t>
        </is>
      </c>
      <c r="F21" s="19" t="inlineStr">
        <is>
          <t>Relacionar las métricas con el objetivo: explicar por qué se prioriza Recall (reducir omisión de publicaciones relevantes) y que subir Recall puede aumentar falsos positivos y bajar Precision.</t>
        </is>
      </c>
      <c r="G21" s="19" t="inlineStr">
        <is>
          <t>Agregar párrafos que justifiquen la priorización de Recall y anticipen el trade-off; dejar MAP y NDCG como métricas complementarias.</t>
        </is>
      </c>
      <c r="H21" s="18" t="inlineStr">
        <is>
          <t>Fondo</t>
        </is>
      </c>
      <c r="I21" s="18" t="inlineStr">
        <is>
          <t>Alto</t>
        </is>
      </c>
      <c r="J21" s="18" t="inlineStr">
        <is>
          <t>Bajo</t>
        </is>
      </c>
      <c r="K21" s="18" t="inlineStr">
        <is>
          <t>Alta</t>
        </is>
      </c>
      <c r="L21" s="19" t="inlineStr">
        <is>
          <t>Z-06, R-07</t>
        </is>
      </c>
      <c r="M21" s="19" t="inlineStr">
        <is>
          <t>Prepara conceptualmente la interpretación de resultados.</t>
        </is>
      </c>
      <c r="N21" s="20" t="inlineStr">
        <is>
          <t>Realizada</t>
        </is>
      </c>
      <c r="O21" s="21" t="inlineStr">
        <is>
          <t>Sección 2.8 ampliada: por qué el proyecto prioriza el recall (costo de omitir publicaciones en una búsqueda exploratoria), la tensión con la precisión, el papel de F1, MAP y NDCG, y cómo esto explica los resultados de la Sección 6.2.</t>
        </is>
      </c>
    </row>
    <row r="22" ht="38.25" customHeight="1" s="24">
      <c r="A22" s="18" t="n">
        <v>18</v>
      </c>
      <c r="B22" s="18" t="inlineStr">
        <is>
          <t>Z-10</t>
        </is>
      </c>
      <c r="C22" s="19" t="inlineStr">
        <is>
          <t>Carolina Zambrano M.</t>
        </is>
      </c>
      <c r="D22" s="19" t="inlineStr">
        <is>
          <t>Marco teórico</t>
        </is>
      </c>
      <c r="E22" s="19" t="inlineStr">
        <is>
          <t>Marco teórico (3.2)</t>
        </is>
      </c>
      <c r="F22" s="19" t="inlineStr">
        <is>
          <t>Profundizar la recuperación léxica vs semántica. La sección 3.2 trata TF-IDF, BM25 y embeddings de forma breve.</t>
        </is>
      </c>
      <c r="G22" s="19" t="inlineStr">
        <is>
          <t>Explicar la diferencia entre búsqueda léxica (coincidencia de términos) y semántica (representaciones vectoriales), con ejemplos.</t>
        </is>
      </c>
      <c r="H22" s="18" t="inlineStr">
        <is>
          <t>Fondo</t>
        </is>
      </c>
      <c r="I22" s="18" t="inlineStr">
        <is>
          <t>Medio</t>
        </is>
      </c>
      <c r="J22" s="18" t="inlineStr">
        <is>
          <t>Medio</t>
        </is>
      </c>
      <c r="K22" s="18" t="inlineStr">
        <is>
          <t>Alta</t>
        </is>
      </c>
      <c r="L22" s="19" t="inlineStr">
        <is>
          <t>R-07, Z-11</t>
        </is>
      </c>
      <c r="M22" s="19" t="inlineStr">
        <is>
          <t>Parte del marco teórico que Román considera muy pobre.</t>
        </is>
      </c>
      <c r="N22" s="20" t="inlineStr">
        <is>
          <t>Realizada</t>
        </is>
      </c>
      <c r="O22" s="21" t="inlineStr">
        <is>
          <t>Sección 2.2 ampliada con dos párrafos: la recuperación léxica (coincidencia de términos, TF-IDF/BM25) y la semántica (vectores densos), con un ejemplo, ventajas y limitaciones de cada una y su complementariedad. Referencia agregada: Karpukhin et al. (2020).</t>
        </is>
      </c>
    </row>
    <row r="23" ht="38.25" customHeight="1" s="24">
      <c r="A23" s="18" t="n">
        <v>19</v>
      </c>
      <c r="B23" s="18" t="inlineStr">
        <is>
          <t>Z-08</t>
        </is>
      </c>
      <c r="C23" s="19" t="inlineStr">
        <is>
          <t>Carolina Zambrano M.</t>
        </is>
      </c>
      <c r="D23" s="19" t="inlineStr">
        <is>
          <t>Contenido</t>
        </is>
      </c>
      <c r="E23" s="19" t="inlineStr">
        <is>
          <t>Trabajo futuro</t>
        </is>
      </c>
      <c r="F23" s="19" t="inlineStr">
        <is>
          <t>Incorporar como trabajo futuro (no como requisito actual): BM25 como baseline adicional, ajuste de umbrales de similitud, optimización del ranking y métricas complementarias.</t>
        </is>
      </c>
      <c r="G23" s="19" t="inlineStr">
        <is>
          <t>Listar estas mejoras en la sección Trabajo futuro (creada en R-06).</t>
        </is>
      </c>
      <c r="H23" s="18" t="inlineStr">
        <is>
          <t>Fondo</t>
        </is>
      </c>
      <c r="I23" s="18" t="inlineStr">
        <is>
          <t>Medio</t>
        </is>
      </c>
      <c r="J23" s="18" t="inlineStr">
        <is>
          <t>Bajo</t>
        </is>
      </c>
      <c r="K23" s="18" t="inlineStr">
        <is>
          <t>Media</t>
        </is>
      </c>
      <c r="L23" s="19" t="inlineStr">
        <is>
          <t>R-06, Z-07</t>
        </is>
      </c>
      <c r="M23" s="19" t="inlineStr">
        <is>
          <t>Se resuelve junto con R-06.</t>
        </is>
      </c>
      <c r="N23" s="20" t="inlineStr">
        <is>
          <t>Realizada</t>
        </is>
      </c>
      <c r="O23" s="21" t="inlineStr">
        <is>
          <t>Apartado «Trabajo futuro» de las Conclusiones: (1) BM25 como línea base adicional, (2) ajuste de umbrales de similitud, (3) optimización del ranking (pesos del score_semantico y re-ranking), (4) métricas complementarias (P@k, MAP, NDCG). La Sección 1.4 remite a ese apartado.</t>
        </is>
      </c>
    </row>
    <row r="24" ht="51" customHeight="1" s="24">
      <c r="A24" s="18" t="n">
        <v>20</v>
      </c>
      <c r="B24" s="18" t="inlineStr">
        <is>
          <t>Z-12</t>
        </is>
      </c>
      <c r="C24" s="19" t="inlineStr">
        <is>
          <t>Carolina Zambrano M.</t>
        </is>
      </c>
      <c r="D24" s="19" t="inlineStr">
        <is>
          <t>Marco teórico</t>
        </is>
      </c>
      <c r="E24" s="19" t="inlineStr">
        <is>
          <t>Marco teórico (PLN)</t>
        </is>
      </c>
      <c r="F24" s="19" t="inlineStr">
        <is>
          <t>Desarrollar la búsqueda difusa y la expansión de consultas: qué problema resuelve la distancia de Levenshtein y qué función cumple la expansión por sinónimos, con ventajas y limitaciones.</t>
        </is>
      </c>
      <c r="G24" s="19" t="inlineStr">
        <is>
          <t>Uno o dos párrafos por técnica, con un ejemplo.</t>
        </is>
      </c>
      <c r="H24" s="18" t="inlineStr">
        <is>
          <t>Fondo</t>
        </is>
      </c>
      <c r="I24" s="18" t="inlineStr">
        <is>
          <t>Medio</t>
        </is>
      </c>
      <c r="J24" s="18" t="inlineStr">
        <is>
          <t>Bajo</t>
        </is>
      </c>
      <c r="K24" s="18" t="inlineStr">
        <is>
          <t>Media</t>
        </is>
      </c>
      <c r="L24" s="19" t="inlineStr">
        <is>
          <t>R-07</t>
        </is>
      </c>
      <c r="M24" s="19" t="inlineStr">
        <is>
          <t>Bajo esfuerzo; fortalece el marco teórico.</t>
        </is>
      </c>
      <c r="N24" s="20" t="inlineStr">
        <is>
          <t>Realizada</t>
        </is>
      </c>
      <c r="O24" s="21" t="inlineStr">
        <is>
          <t>Nuevas Secciones 2.3.1 «Búsqueda difusa y distancia de Levenshtein» y 2.3.2 «Expansión de consultas mediante sinónimos», con definición, ejemplo, ventajas y limitaciones de cada técnica. Referencias agregadas: Levenshtein (1966) y Carpineto y Romano (2012).</t>
        </is>
      </c>
    </row>
    <row r="25" ht="38.25" customHeight="1" s="24">
      <c r="A25" s="18" t="n">
        <v>21</v>
      </c>
      <c r="B25" s="18" t="inlineStr">
        <is>
          <t>Z-13</t>
        </is>
      </c>
      <c r="C25" s="19" t="inlineStr">
        <is>
          <t>Carolina Zambrano M.</t>
        </is>
      </c>
      <c r="D25" s="19" t="inlineStr">
        <is>
          <t>Marco teórico</t>
        </is>
      </c>
      <c r="E25" s="19" t="inlineStr">
        <is>
          <t>Marco teórico (embeddings)</t>
        </is>
      </c>
      <c r="F25" s="19" t="inlineStr">
        <is>
          <t>Fortalecer Sentence Transformers y similitud coseno: qué representa un embedding, por qué textos similares quedan próximos y cómo la similitud coseno da el puntaje.</t>
        </is>
      </c>
      <c r="G25" s="19" t="inlineStr">
        <is>
          <t>Agregar una explicación breve con la fórmula de la similitud coseno y un ejemplo.</t>
        </is>
      </c>
      <c r="H25" s="18" t="inlineStr">
        <is>
          <t>Fondo</t>
        </is>
      </c>
      <c r="I25" s="18" t="inlineStr">
        <is>
          <t>Medio</t>
        </is>
      </c>
      <c r="J25" s="18" t="inlineStr">
        <is>
          <t>Bajo</t>
        </is>
      </c>
      <c r="K25" s="18" t="inlineStr">
        <is>
          <t>Media</t>
        </is>
      </c>
      <c r="L25" s="19" t="inlineStr">
        <is>
          <t>R-07, Z-05</t>
        </is>
      </c>
      <c r="M25" s="19" t="inlineStr">
        <is>
          <t>Conecta la teoría con la implementación.</t>
        </is>
      </c>
      <c r="N25" s="20" t="inlineStr">
        <is>
          <t>Realizada</t>
        </is>
      </c>
      <c r="O25" s="21" t="inlineStr">
        <is>
          <t>Sección 2.4 ampliada: qué representa un embedding, por qué textos semánticamente similares quedan próximos (entrenamiento siamés y destilación multilingüe) y fórmula de la similitud coseno, equivalente al producto punto con vectores normalizados. Referencia agregada: Reimers y Gurevych (2020).</t>
        </is>
      </c>
    </row>
    <row r="26" ht="25.5" customHeight="1" s="24">
      <c r="A26" s="18" t="n">
        <v>22</v>
      </c>
      <c r="B26" s="18" t="inlineStr">
        <is>
          <t>R-10</t>
        </is>
      </c>
      <c r="C26" s="19" t="inlineStr">
        <is>
          <t>Pablo Román A.</t>
        </is>
      </c>
      <c r="D26" s="19" t="inlineStr">
        <is>
          <t>Contenido</t>
        </is>
      </c>
      <c r="E26" s="19" t="inlineStr">
        <is>
          <t>Capítulos 1 y 2</t>
        </is>
      </c>
      <c r="F26" s="19" t="inlineStr">
        <is>
          <t>Los capítulos 1 y 2 podrían fusionarse como introducción.</t>
        </is>
      </c>
      <c r="G26" s="19" t="inlineStr">
        <is>
          <t>Fusionar Introducción y Planteamiento del problema en un único capítulo de Introducción.</t>
        </is>
      </c>
      <c r="H26" s="18" t="inlineStr">
        <is>
          <t>Forma</t>
        </is>
      </c>
      <c r="I26" s="18" t="inlineStr">
        <is>
          <t>Medio</t>
        </is>
      </c>
      <c r="J26" s="18" t="inlineStr">
        <is>
          <t>Bajo</t>
        </is>
      </c>
      <c r="K26" s="18" t="inlineStr">
        <is>
          <t>Media</t>
        </is>
      </c>
      <c r="L26" s="19" t="inlineStr">
        <is>
          <t>R-09</t>
        </is>
      </c>
      <c r="M26" s="19" t="inlineStr">
        <is>
          <t>Reestructuración sugerida ("podrían"); conviene hacerla al reorganizar capítulos.</t>
        </is>
      </c>
      <c r="N26" s="20" t="inlineStr">
        <is>
          <t>Realizada</t>
        </is>
      </c>
      <c r="O26" s="21" t="inlineStr">
        <is>
          <t>Caps. 1 y 2 fusionados en «Capítulo 1: Introducción» (1.1 a 1.10); capítulos renumerados e índice actualizado.</t>
        </is>
      </c>
    </row>
    <row r="27" ht="38.25" customHeight="1" s="24">
      <c r="A27" s="18" t="n">
        <v>23</v>
      </c>
      <c r="B27" s="18" t="inlineStr">
        <is>
          <t>Z-01</t>
        </is>
      </c>
      <c r="C27" s="19" t="inlineStr">
        <is>
          <t>Carolina Zambrano M.</t>
        </is>
      </c>
      <c r="D27" s="19" t="inlineStr">
        <is>
          <t>Formato</t>
        </is>
      </c>
      <c r="E27" s="19" t="inlineStr">
        <is>
          <t>Tablas</t>
        </is>
      </c>
      <c r="F27" s="19" t="inlineStr">
        <is>
          <t>Numeración de tablas: "Tabla 4" se usa para los casos de uso y para los resultados de evaluación (págs. 13 y 14). Revisar todas las numeraciones y sus referencias en el texto.</t>
        </is>
      </c>
      <c r="G27" s="19" t="inlineStr">
        <is>
          <t>Usar numeración automática de Word (títulos y referencias cruzadas) y regenerar el índice de tablas.</t>
        </is>
      </c>
      <c r="H27" s="18" t="inlineStr">
        <is>
          <t>Forma</t>
        </is>
      </c>
      <c r="I27" s="18" t="inlineStr">
        <is>
          <t>Medio</t>
        </is>
      </c>
      <c r="J27" s="18" t="inlineStr">
        <is>
          <t>Bajo</t>
        </is>
      </c>
      <c r="K27" s="18" t="inlineStr">
        <is>
          <t>Media</t>
        </is>
      </c>
      <c r="L27" s="19" t="inlineStr">
        <is>
          <t>R-08</t>
        </is>
      </c>
      <c r="M27" s="19" t="inlineStr">
        <is>
          <t>Se resuelve casi solo al aplicar la plantilla oficial.</t>
        </is>
      </c>
      <c r="N27" s="20" t="inlineStr">
        <is>
          <t>Realizada</t>
        </is>
      </c>
      <c r="O27" s="21" t="inlineStr">
        <is>
          <t>Se corrigió la numeración duplicada: los casos de uso son la Tabla 4 y los resultados de evaluación, la Tabla 8. Las 15 tablas quedaron numeradas en orden, con sus referencias y el índice de tablas actualizados.</t>
        </is>
      </c>
    </row>
    <row r="28" ht="25.5" customHeight="1" s="24">
      <c r="A28" s="18" t="n">
        <v>24</v>
      </c>
      <c r="B28" s="18" t="inlineStr">
        <is>
          <t>Z-02</t>
        </is>
      </c>
      <c r="C28" s="19" t="inlineStr">
        <is>
          <t>Carolina Zambrano M.</t>
        </is>
      </c>
      <c r="D28" s="19" t="inlineStr">
        <is>
          <t>Formato</t>
        </is>
      </c>
      <c r="E28" s="19" t="inlineStr">
        <is>
          <t>Todo el documento</t>
        </is>
      </c>
      <c r="F28" s="19" t="inlineStr">
        <is>
          <t>Uniformar la terminología técnica: PLN/NLP, ranking, embeddings, papers.</t>
        </is>
      </c>
      <c r="G28" s="19" t="inlineStr">
        <is>
          <t>Definir un término por concepto (p. ej. PLN, "publicaciones") y aplicarlo en todo el texto; agregar glosario si corresponde.</t>
        </is>
      </c>
      <c r="H28" s="18" t="inlineStr">
        <is>
          <t>Forma</t>
        </is>
      </c>
      <c r="I28" s="18" t="inlineStr">
        <is>
          <t>Bajo</t>
        </is>
      </c>
      <c r="J28" s="18" t="inlineStr">
        <is>
          <t>Bajo</t>
        </is>
      </c>
      <c r="K28" s="18" t="inlineStr">
        <is>
          <t>Baja</t>
        </is>
      </c>
      <c r="L28" s="19" t="n"/>
      <c r="M28" s="19" t="inlineStr">
        <is>
          <t>La revisora indica que no afecta la calidad técnica. Hacer en la revisión final.</t>
        </is>
      </c>
      <c r="N28" s="20" t="inlineStr">
        <is>
          <t>Realizada</t>
        </is>
      </c>
      <c r="O28" s="21" t="inlineStr">
        <is>
          <t>Se usa «PLN» en todo el texto (definido en su primera mención, Sección 1.2), «publicaciones» en lugar de «papers» (se conserva solo en nombres de archivos y variables, p. ej. BD_papers.csv), «consulta» en lugar de «query», «ranking» y «embeddings multilingües». Se actualizó el glosario.</t>
        </is>
      </c>
    </row>
    <row r="29" ht="25.5" customHeight="1" s="24">
      <c r="A29" s="18" t="n">
        <v>25</v>
      </c>
      <c r="B29" s="18" t="inlineStr">
        <is>
          <t>Z-03</t>
        </is>
      </c>
      <c r="C29" s="19" t="inlineStr">
        <is>
          <t>Carolina Zambrano M.</t>
        </is>
      </c>
      <c r="D29" s="19" t="inlineStr">
        <is>
          <t>Formato</t>
        </is>
      </c>
      <c r="E29" s="19" t="inlineStr">
        <is>
          <t>Todo el documento</t>
        </is>
      </c>
      <c r="F29" s="19" t="inlineStr">
        <is>
          <t>Revisar errores menores de redacción y mejorar la presentación de algunas tablas y fragmentos de texto.</t>
        </is>
      </c>
      <c r="G29" s="19" t="inlineStr">
        <is>
          <t>Revisión ortográfica y de estilo final; homogeneizar el formato de tablas.</t>
        </is>
      </c>
      <c r="H29" s="18" t="inlineStr">
        <is>
          <t>Forma</t>
        </is>
      </c>
      <c r="I29" s="18" t="inlineStr">
        <is>
          <t>Bajo</t>
        </is>
      </c>
      <c r="J29" s="18" t="inlineStr">
        <is>
          <t>Bajo</t>
        </is>
      </c>
      <c r="K29" s="18" t="inlineStr">
        <is>
          <t>Baja</t>
        </is>
      </c>
      <c r="L29" s="19" t="n"/>
      <c r="M29" s="19" t="inlineStr">
        <is>
          <t>La revisora indica que no afecta la calidad técnica. Hacer en la revisión final.</t>
        </is>
      </c>
      <c r="N29" s="20" t="inlineStr">
        <is>
          <t>Realizada</t>
        </is>
      </c>
      <c r="O29" s="21" t="inlineStr">
        <is>
          <t>Revisión de redacción y concordancia, y decimales con coma (p. ej. 0,7400). Tablas con el título unido a la tabla, encabezado sombreado que se repite en cada página y filas que no se dividen entre páginas.</t>
        </is>
      </c>
    </row>
  </sheetData>
  <autoFilter ref="A4:O29"/>
  <mergeCells count="2">
    <mergeCell ref="A2:N2"/>
    <mergeCell ref="A1:N1"/>
  </mergeCells>
  <conditionalFormatting sqref="K5:K29">
    <cfRule type="expression" priority="1" dxfId="5">
      <formula>$K5="Crítica"</formula>
    </cfRule>
    <cfRule type="expression" priority="2" dxfId="4">
      <formula>$K5="Alta"</formula>
    </cfRule>
    <cfRule type="expression" priority="3" dxfId="3">
      <formula>$K5="Media"</formula>
    </cfRule>
    <cfRule type="expression" priority="4" dxfId="2">
      <formula>$K5="Baja"</formula>
    </cfRule>
  </conditionalFormatting>
  <conditionalFormatting sqref="N5:N29">
    <cfRule type="expression" priority="5" dxfId="1">
      <formula>$N5="Realizada"</formula>
    </cfRule>
    <cfRule type="expression" priority="6" dxfId="0">
      <formula>$N5="En progreso"</formula>
    </cfRule>
  </conditionalFormatting>
  <dataValidations count="1">
    <dataValidation sqref="N5:N29" showDropDown="0" showInputMessage="0" showErrorMessage="0" allowBlank="0" type="list">
      <formula1>"Pendiente,En progreso,Realizada,No aplica"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4" customWidth="1" style="24" min="1" max="1"/>
    <col width="20" customWidth="1" style="24" min="2" max="2"/>
    <col width="70" customWidth="1" style="24" min="3" max="3"/>
    <col width="16" customWidth="1" style="24" min="4" max="4"/>
    <col width="50" customWidth="1" style="24" min="5" max="5"/>
  </cols>
  <sheetData>
    <row r="1" ht="15.75" customHeight="1" s="24">
      <c r="A1" s="22" t="inlineStr">
        <is>
          <t>REPORTE DE CORRECCIONES REALIZADAS (formato del formulario oficial)</t>
        </is>
      </c>
    </row>
    <row r="2">
      <c r="A2" s="25" t="inlineStr">
        <is>
          <t>Se llena solo desde la hoja Observaciones. Copiar al formulario de cada profesor filtrando por revisor.</t>
        </is>
      </c>
    </row>
    <row r="4" ht="25.5" customHeight="1" s="24">
      <c r="A4" s="2" t="inlineStr">
        <is>
          <t>N° de la observación</t>
        </is>
      </c>
      <c r="B4" s="2" t="inlineStr">
        <is>
          <t>Revisor</t>
        </is>
      </c>
      <c r="C4" s="2" t="inlineStr">
        <is>
          <t>Descripción</t>
        </is>
      </c>
      <c r="D4" s="2" t="inlineStr">
        <is>
          <t>Estado de la observación</t>
        </is>
      </c>
      <c r="E4" s="2" t="inlineStr">
        <is>
          <t>Comentarios</t>
        </is>
      </c>
    </row>
    <row r="5">
      <c r="A5" s="18">
        <f>Observaciones!B5</f>
        <v/>
      </c>
      <c r="B5" s="19">
        <f>Observaciones!C5</f>
        <v/>
      </c>
      <c r="C5" s="19">
        <f>Observaciones!F5</f>
        <v/>
      </c>
      <c r="D5" s="18">
        <f>Observaciones!N5</f>
        <v/>
      </c>
      <c r="E5" s="19">
        <f>IF(Observaciones!O5="","",Observaciones!O5)</f>
        <v/>
      </c>
    </row>
    <row r="6">
      <c r="A6" s="18">
        <f>Observaciones!B6</f>
        <v/>
      </c>
      <c r="B6" s="19">
        <f>Observaciones!C6</f>
        <v/>
      </c>
      <c r="C6" s="19">
        <f>Observaciones!F6</f>
        <v/>
      </c>
      <c r="D6" s="18">
        <f>Observaciones!N6</f>
        <v/>
      </c>
      <c r="E6" s="19">
        <f>IF(Observaciones!O6="","",Observaciones!O6)</f>
        <v/>
      </c>
    </row>
    <row r="7">
      <c r="A7" s="18">
        <f>Observaciones!B7</f>
        <v/>
      </c>
      <c r="B7" s="19">
        <f>Observaciones!C7</f>
        <v/>
      </c>
      <c r="C7" s="19">
        <f>Observaciones!F7</f>
        <v/>
      </c>
      <c r="D7" s="18">
        <f>Observaciones!N7</f>
        <v/>
      </c>
      <c r="E7" s="19">
        <f>IF(Observaciones!O7="","",Observaciones!O7)</f>
        <v/>
      </c>
    </row>
    <row r="8">
      <c r="A8" s="18">
        <f>Observaciones!B8</f>
        <v/>
      </c>
      <c r="B8" s="19">
        <f>Observaciones!C8</f>
        <v/>
      </c>
      <c r="C8" s="19">
        <f>Observaciones!F8</f>
        <v/>
      </c>
      <c r="D8" s="18">
        <f>Observaciones!N8</f>
        <v/>
      </c>
      <c r="E8" s="19">
        <f>IF(Observaciones!O8="","",Observaciones!O8)</f>
        <v/>
      </c>
    </row>
    <row r="9">
      <c r="A9" s="18">
        <f>Observaciones!B9</f>
        <v/>
      </c>
      <c r="B9" s="19">
        <f>Observaciones!C9</f>
        <v/>
      </c>
      <c r="C9" s="19">
        <f>Observaciones!F9</f>
        <v/>
      </c>
      <c r="D9" s="18">
        <f>Observaciones!N9</f>
        <v/>
      </c>
      <c r="E9" s="19">
        <f>IF(Observaciones!O9="","",Observaciones!O9)</f>
        <v/>
      </c>
    </row>
    <row r="10">
      <c r="A10" s="18">
        <f>Observaciones!B10</f>
        <v/>
      </c>
      <c r="B10" s="19">
        <f>Observaciones!C10</f>
        <v/>
      </c>
      <c r="C10" s="19">
        <f>Observaciones!F10</f>
        <v/>
      </c>
      <c r="D10" s="18">
        <f>Observaciones!N10</f>
        <v/>
      </c>
      <c r="E10" s="19">
        <f>IF(Observaciones!O10="","",Observaciones!O10)</f>
        <v/>
      </c>
    </row>
    <row r="11">
      <c r="A11" s="18">
        <f>Observaciones!B11</f>
        <v/>
      </c>
      <c r="B11" s="19">
        <f>Observaciones!C11</f>
        <v/>
      </c>
      <c r="C11" s="19">
        <f>Observaciones!F11</f>
        <v/>
      </c>
      <c r="D11" s="18">
        <f>Observaciones!N11</f>
        <v/>
      </c>
      <c r="E11" s="19">
        <f>IF(Observaciones!O11="","",Observaciones!O11)</f>
        <v/>
      </c>
    </row>
    <row r="12">
      <c r="A12" s="18">
        <f>Observaciones!B12</f>
        <v/>
      </c>
      <c r="B12" s="19">
        <f>Observaciones!C12</f>
        <v/>
      </c>
      <c r="C12" s="19">
        <f>Observaciones!F12</f>
        <v/>
      </c>
      <c r="D12" s="18">
        <f>Observaciones!N12</f>
        <v/>
      </c>
      <c r="E12" s="19">
        <f>IF(Observaciones!O12="","",Observaciones!O12)</f>
        <v/>
      </c>
    </row>
    <row r="13">
      <c r="A13" s="18">
        <f>Observaciones!B13</f>
        <v/>
      </c>
      <c r="B13" s="19">
        <f>Observaciones!C13</f>
        <v/>
      </c>
      <c r="C13" s="19">
        <f>Observaciones!F13</f>
        <v/>
      </c>
      <c r="D13" s="18">
        <f>Observaciones!N13</f>
        <v/>
      </c>
      <c r="E13" s="19">
        <f>IF(Observaciones!O13="","",Observaciones!O13)</f>
        <v/>
      </c>
    </row>
    <row r="14">
      <c r="A14" s="18">
        <f>Observaciones!B14</f>
        <v/>
      </c>
      <c r="B14" s="19">
        <f>Observaciones!C14</f>
        <v/>
      </c>
      <c r="C14" s="19">
        <f>Observaciones!F14</f>
        <v/>
      </c>
      <c r="D14" s="18">
        <f>Observaciones!N14</f>
        <v/>
      </c>
      <c r="E14" s="19">
        <f>IF(Observaciones!O14="","",Observaciones!O14)</f>
        <v/>
      </c>
    </row>
    <row r="15">
      <c r="A15" s="18">
        <f>Observaciones!B15</f>
        <v/>
      </c>
      <c r="B15" s="19">
        <f>Observaciones!C15</f>
        <v/>
      </c>
      <c r="C15" s="19">
        <f>Observaciones!F15</f>
        <v/>
      </c>
      <c r="D15" s="18">
        <f>Observaciones!N15</f>
        <v/>
      </c>
      <c r="E15" s="19">
        <f>IF(Observaciones!O15="","",Observaciones!O15)</f>
        <v/>
      </c>
    </row>
    <row r="16">
      <c r="A16" s="18">
        <f>Observaciones!B16</f>
        <v/>
      </c>
      <c r="B16" s="19">
        <f>Observaciones!C16</f>
        <v/>
      </c>
      <c r="C16" s="19">
        <f>Observaciones!F16</f>
        <v/>
      </c>
      <c r="D16" s="18">
        <f>Observaciones!N16</f>
        <v/>
      </c>
      <c r="E16" s="19">
        <f>IF(Observaciones!O16="","",Observaciones!O16)</f>
        <v/>
      </c>
    </row>
    <row r="17">
      <c r="A17" s="18">
        <f>Observaciones!B17</f>
        <v/>
      </c>
      <c r="B17" s="19">
        <f>Observaciones!C17</f>
        <v/>
      </c>
      <c r="C17" s="19">
        <f>Observaciones!F17</f>
        <v/>
      </c>
      <c r="D17" s="18">
        <f>Observaciones!N17</f>
        <v/>
      </c>
      <c r="E17" s="19">
        <f>IF(Observaciones!O17="","",Observaciones!O17)</f>
        <v/>
      </c>
    </row>
    <row r="18">
      <c r="A18" s="18">
        <f>Observaciones!B18</f>
        <v/>
      </c>
      <c r="B18" s="19">
        <f>Observaciones!C18</f>
        <v/>
      </c>
      <c r="C18" s="19">
        <f>Observaciones!F18</f>
        <v/>
      </c>
      <c r="D18" s="18">
        <f>Observaciones!N18</f>
        <v/>
      </c>
      <c r="E18" s="19">
        <f>IF(Observaciones!O18="","",Observaciones!O18)</f>
        <v/>
      </c>
    </row>
    <row r="19">
      <c r="A19" s="18">
        <f>Observaciones!B19</f>
        <v/>
      </c>
      <c r="B19" s="19">
        <f>Observaciones!C19</f>
        <v/>
      </c>
      <c r="C19" s="19">
        <f>Observaciones!F19</f>
        <v/>
      </c>
      <c r="D19" s="18">
        <f>Observaciones!N19</f>
        <v/>
      </c>
      <c r="E19" s="19">
        <f>IF(Observaciones!O19="","",Observaciones!O19)</f>
        <v/>
      </c>
    </row>
    <row r="20">
      <c r="A20" s="18">
        <f>Observaciones!B20</f>
        <v/>
      </c>
      <c r="B20" s="19">
        <f>Observaciones!C20</f>
        <v/>
      </c>
      <c r="C20" s="19">
        <f>Observaciones!F20</f>
        <v/>
      </c>
      <c r="D20" s="18">
        <f>Observaciones!N20</f>
        <v/>
      </c>
      <c r="E20" s="19">
        <f>IF(Observaciones!O20="","",Observaciones!O20)</f>
        <v/>
      </c>
    </row>
    <row r="21">
      <c r="A21" s="18">
        <f>Observaciones!B21</f>
        <v/>
      </c>
      <c r="B21" s="19">
        <f>Observaciones!C21</f>
        <v/>
      </c>
      <c r="C21" s="19">
        <f>Observaciones!F21</f>
        <v/>
      </c>
      <c r="D21" s="18">
        <f>Observaciones!N21</f>
        <v/>
      </c>
      <c r="E21" s="19">
        <f>IF(Observaciones!O21="","",Observaciones!O21)</f>
        <v/>
      </c>
    </row>
    <row r="22">
      <c r="A22" s="18">
        <f>Observaciones!B22</f>
        <v/>
      </c>
      <c r="B22" s="19">
        <f>Observaciones!C22</f>
        <v/>
      </c>
      <c r="C22" s="19">
        <f>Observaciones!F22</f>
        <v/>
      </c>
      <c r="D22" s="18">
        <f>Observaciones!N22</f>
        <v/>
      </c>
      <c r="E22" s="19">
        <f>IF(Observaciones!O22="","",Observaciones!O22)</f>
        <v/>
      </c>
    </row>
    <row r="23">
      <c r="A23" s="18">
        <f>Observaciones!B23</f>
        <v/>
      </c>
      <c r="B23" s="19">
        <f>Observaciones!C23</f>
        <v/>
      </c>
      <c r="C23" s="19">
        <f>Observaciones!F23</f>
        <v/>
      </c>
      <c r="D23" s="18">
        <f>Observaciones!N23</f>
        <v/>
      </c>
      <c r="E23" s="19">
        <f>IF(Observaciones!O23="","",Observaciones!O23)</f>
        <v/>
      </c>
    </row>
    <row r="24">
      <c r="A24" s="18">
        <f>Observaciones!B24</f>
        <v/>
      </c>
      <c r="B24" s="19">
        <f>Observaciones!C24</f>
        <v/>
      </c>
      <c r="C24" s="19">
        <f>Observaciones!F24</f>
        <v/>
      </c>
      <c r="D24" s="18">
        <f>Observaciones!N24</f>
        <v/>
      </c>
      <c r="E24" s="19">
        <f>IF(Observaciones!O24="","",Observaciones!O24)</f>
        <v/>
      </c>
    </row>
    <row r="25">
      <c r="A25" s="18">
        <f>Observaciones!B25</f>
        <v/>
      </c>
      <c r="B25" s="19">
        <f>Observaciones!C25</f>
        <v/>
      </c>
      <c r="C25" s="19">
        <f>Observaciones!F25</f>
        <v/>
      </c>
      <c r="D25" s="18">
        <f>Observaciones!N25</f>
        <v/>
      </c>
      <c r="E25" s="19">
        <f>IF(Observaciones!O25="","",Observaciones!O25)</f>
        <v/>
      </c>
    </row>
    <row r="26">
      <c r="A26" s="18">
        <f>Observaciones!B26</f>
        <v/>
      </c>
      <c r="B26" s="19">
        <f>Observaciones!C26</f>
        <v/>
      </c>
      <c r="C26" s="19">
        <f>Observaciones!F26</f>
        <v/>
      </c>
      <c r="D26" s="18">
        <f>Observaciones!N26</f>
        <v/>
      </c>
      <c r="E26" s="19">
        <f>IF(Observaciones!O26="","",Observaciones!O26)</f>
        <v/>
      </c>
    </row>
    <row r="27">
      <c r="A27" s="18">
        <f>Observaciones!B27</f>
        <v/>
      </c>
      <c r="B27" s="19">
        <f>Observaciones!C27</f>
        <v/>
      </c>
      <c r="C27" s="19">
        <f>Observaciones!F27</f>
        <v/>
      </c>
      <c r="D27" s="18">
        <f>Observaciones!N27</f>
        <v/>
      </c>
      <c r="E27" s="19">
        <f>IF(Observaciones!O27="","",Observaciones!O27)</f>
        <v/>
      </c>
    </row>
    <row r="28">
      <c r="A28" s="18">
        <f>Observaciones!B28</f>
        <v/>
      </c>
      <c r="B28" s="19">
        <f>Observaciones!C28</f>
        <v/>
      </c>
      <c r="C28" s="19">
        <f>Observaciones!F28</f>
        <v/>
      </c>
      <c r="D28" s="18">
        <f>Observaciones!N28</f>
        <v/>
      </c>
      <c r="E28" s="19">
        <f>IF(Observaciones!O28="","",Observaciones!O28)</f>
        <v/>
      </c>
    </row>
    <row r="29">
      <c r="A29" s="18">
        <f>Observaciones!B29</f>
        <v/>
      </c>
      <c r="B29" s="19">
        <f>Observaciones!C29</f>
        <v/>
      </c>
      <c r="C29" s="19">
        <f>Observaciones!F29</f>
        <v/>
      </c>
      <c r="D29" s="18">
        <f>Observaciones!N29</f>
        <v/>
      </c>
      <c r="E29" s="19">
        <f>IF(Observaciones!O29="","",Observaciones!O29)</f>
        <v/>
      </c>
    </row>
  </sheetData>
  <autoFilter ref="A4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2026-10-14T20:49:51Z</dcterms:created>
  <dcterms:modified xmlns:dcterms="http://purl.org/dc/terms/" xmlns:xsi="http://www.w3.org/2001/XMLSchema-instance" xsi:type="dcterms:W3CDTF">2026-10-21T03:15:23Z</dcterms:modified>
  <cp:lastModifiedBy>Eduardo Perez Silva</cp:lastModifiedBy>
</cp:coreProperties>
</file>